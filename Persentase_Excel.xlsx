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F8261C6D-F69C-4592-91A7-54E5776BCC6A}" xr6:coauthVersionLast="47" xr6:coauthVersionMax="47" xr10:uidLastSave="{00000000-0000-0000-0000-000000000000}"/>
  <bookViews>
    <workbookView xWindow="-110" yWindow="-110" windowWidth="19420" windowHeight="10300" xr2:uid="{7F56D3A6-5C12-4D65-8CA2-C3F45E6299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" l="1"/>
  <c r="F16" i="1"/>
  <c r="H10" i="1"/>
  <c r="H9" i="1"/>
  <c r="G10" i="1"/>
  <c r="G9" i="1"/>
  <c r="F11" i="1"/>
  <c r="C11" i="1"/>
  <c r="C12" i="1"/>
  <c r="C13" i="1"/>
  <c r="C10" i="1"/>
  <c r="H3" i="1"/>
  <c r="H4" i="1"/>
  <c r="H5" i="1"/>
  <c r="H6" i="1"/>
  <c r="H2" i="1"/>
  <c r="G5" i="1"/>
  <c r="G6" i="1"/>
  <c r="G3" i="1"/>
  <c r="G4" i="1"/>
  <c r="G2" i="1"/>
  <c r="F5" i="1"/>
  <c r="E5" i="1"/>
  <c r="C5" i="1"/>
  <c r="F3" i="1"/>
  <c r="F4" i="1"/>
  <c r="F6" i="1"/>
  <c r="F2" i="1"/>
  <c r="E3" i="1"/>
  <c r="E4" i="1"/>
  <c r="E6" i="1"/>
  <c r="E2" i="1"/>
  <c r="D3" i="1"/>
  <c r="D4" i="1"/>
  <c r="D5" i="1"/>
  <c r="D6" i="1"/>
  <c r="D2" i="1"/>
  <c r="C4" i="1"/>
  <c r="C3" i="1"/>
  <c r="C6" i="1"/>
  <c r="C2" i="1"/>
</calcChain>
</file>

<file path=xl/sharedStrings.xml><?xml version="1.0" encoding="utf-8"?>
<sst xmlns="http://schemas.openxmlformats.org/spreadsheetml/2006/main" count="22" uniqueCount="21">
  <si>
    <t>A</t>
  </si>
  <si>
    <t>B</t>
  </si>
  <si>
    <t>A ditambah B</t>
  </si>
  <si>
    <t>A dikurang B</t>
  </si>
  <si>
    <t>A dikali B</t>
  </si>
  <si>
    <t>A dibagi B</t>
  </si>
  <si>
    <t>30% dari A</t>
  </si>
  <si>
    <t>B dipotong diskon 10%</t>
  </si>
  <si>
    <t>Tahun</t>
  </si>
  <si>
    <t>Jumlah
 Penduduk</t>
  </si>
  <si>
    <t>Pertumbuhan
 Penduduk</t>
  </si>
  <si>
    <t>%</t>
  </si>
  <si>
    <t>Jenis 
Kelamin</t>
  </si>
  <si>
    <t>Jumlah 
Penduduk</t>
  </si>
  <si>
    <t xml:space="preserve">Pria </t>
  </si>
  <si>
    <t>Wanita</t>
  </si>
  <si>
    <t>Total</t>
  </si>
  <si>
    <t>Pendapatan</t>
  </si>
  <si>
    <t>Pengeluaran</t>
  </si>
  <si>
    <t>Keuntungan</t>
  </si>
  <si>
    <t>% Keuntungan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</si>
</sst>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43" fontId="3" fillId="0" borderId="1" xfId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0" fontId="3" fillId="0" borderId="1" xfId="2" applyNumberFormat="1" applyFont="1" applyBorder="1" applyAlignment="1">
      <alignment horizontal="center"/>
    </xf>
    <xf numFmtId="9" fontId="3" fillId="0" borderId="1" xfId="2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3" fillId="0" borderId="0" xfId="2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CAC8-4F4A-4AC3-8B37-3FCCF102DEE3}">
  <dimension ref="A1:I17"/>
  <sheetViews>
    <sheetView tabSelected="1" workbookViewId="0">
      <selection activeCell="G16" sqref="G16"/>
    </sheetView>
  </sheetViews>
  <sheetFormatPr defaultRowHeight="15.5" x14ac:dyDescent="0.35"/>
  <cols>
    <col min="1" max="1" width="8.7265625" style="1"/>
    <col min="2" max="2" width="11.54296875" style="1" customWidth="1"/>
    <col min="3" max="3" width="13.81640625" style="1" bestFit="1" customWidth="1"/>
    <col min="4" max="4" width="13.54296875" style="1" bestFit="1" customWidth="1"/>
    <col min="5" max="5" width="13.90625" style="1" bestFit="1" customWidth="1"/>
    <col min="6" max="6" width="10.7265625" style="1" customWidth="1"/>
    <col min="7" max="7" width="11.81640625" style="1" bestFit="1" customWidth="1"/>
    <col min="8" max="8" width="11.90625" style="1" bestFit="1" customWidth="1"/>
    <col min="9" max="16384" width="8.7265625" style="1"/>
  </cols>
  <sheetData>
    <row r="1" spans="1:9" ht="30" x14ac:dyDescent="0.35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4" t="s">
        <v>7</v>
      </c>
    </row>
    <row r="2" spans="1:9" x14ac:dyDescent="0.35">
      <c r="A2" s="2">
        <v>120</v>
      </c>
      <c r="B2" s="2">
        <v>10</v>
      </c>
      <c r="C2" s="2">
        <f>A2+B2</f>
        <v>130</v>
      </c>
      <c r="D2" s="2">
        <f>A2-B2</f>
        <v>110</v>
      </c>
      <c r="E2" s="3">
        <f>A2*B2</f>
        <v>1200</v>
      </c>
      <c r="F2" s="2">
        <f>A2/B2</f>
        <v>12</v>
      </c>
      <c r="G2" s="2">
        <f>30%*A2</f>
        <v>36</v>
      </c>
      <c r="H2" s="2">
        <f>B2-(B2*10%)</f>
        <v>9</v>
      </c>
      <c r="I2" s="4"/>
    </row>
    <row r="3" spans="1:9" x14ac:dyDescent="0.35">
      <c r="A3" s="2">
        <v>80</v>
      </c>
      <c r="B3" s="2">
        <v>2</v>
      </c>
      <c r="C3" s="2">
        <f t="shared" ref="C3:C6" si="0">A3+B3</f>
        <v>82</v>
      </c>
      <c r="D3" s="2">
        <f t="shared" ref="D3:D6" si="1">A3-B3</f>
        <v>78</v>
      </c>
      <c r="E3" s="3">
        <f t="shared" ref="E3:E6" si="2">A3*B3</f>
        <v>160</v>
      </c>
      <c r="F3" s="2">
        <f t="shared" ref="F3:F6" si="3">A3/B3</f>
        <v>40</v>
      </c>
      <c r="G3" s="2">
        <f t="shared" ref="G3:G4" si="4">30%*A3</f>
        <v>24</v>
      </c>
      <c r="H3" s="2">
        <f t="shared" ref="H3:H6" si="5">B3-(B3*10%)</f>
        <v>1.8</v>
      </c>
    </row>
    <row r="4" spans="1:9" x14ac:dyDescent="0.35">
      <c r="A4" s="2">
        <v>100</v>
      </c>
      <c r="B4" s="2">
        <v>4</v>
      </c>
      <c r="C4" s="2">
        <f>A4+B4</f>
        <v>104</v>
      </c>
      <c r="D4" s="2">
        <f t="shared" si="1"/>
        <v>96</v>
      </c>
      <c r="E4" s="3">
        <f t="shared" si="2"/>
        <v>400</v>
      </c>
      <c r="F4" s="2">
        <f t="shared" si="3"/>
        <v>25</v>
      </c>
      <c r="G4" s="2">
        <f t="shared" si="4"/>
        <v>30</v>
      </c>
      <c r="H4" s="2">
        <f t="shared" si="5"/>
        <v>3.6</v>
      </c>
    </row>
    <row r="5" spans="1:9" x14ac:dyDescent="0.35">
      <c r="A5" s="2">
        <v>12</v>
      </c>
      <c r="B5" s="2">
        <v>36</v>
      </c>
      <c r="C5" s="2">
        <f>A5+B5</f>
        <v>48</v>
      </c>
      <c r="D5" s="2">
        <f t="shared" si="1"/>
        <v>-24</v>
      </c>
      <c r="E5" s="3">
        <f>A5*B5</f>
        <v>432</v>
      </c>
      <c r="F5" s="5">
        <f>A5/B5</f>
        <v>0.33333333333333331</v>
      </c>
      <c r="G5" s="2">
        <f>30%*A5</f>
        <v>3.5999999999999996</v>
      </c>
      <c r="H5" s="2">
        <f t="shared" si="5"/>
        <v>32.4</v>
      </c>
    </row>
    <row r="6" spans="1:9" x14ac:dyDescent="0.35">
      <c r="A6" s="2">
        <v>28</v>
      </c>
      <c r="B6" s="2">
        <v>10</v>
      </c>
      <c r="C6" s="2">
        <f t="shared" si="0"/>
        <v>38</v>
      </c>
      <c r="D6" s="2">
        <f t="shared" si="1"/>
        <v>18</v>
      </c>
      <c r="E6" s="3">
        <f t="shared" si="2"/>
        <v>280</v>
      </c>
      <c r="F6" s="2">
        <f t="shared" si="3"/>
        <v>2.8</v>
      </c>
      <c r="G6" s="2">
        <f>30%*A6</f>
        <v>8.4</v>
      </c>
      <c r="H6" s="2">
        <f t="shared" si="5"/>
        <v>9</v>
      </c>
    </row>
    <row r="7" spans="1:9" x14ac:dyDescent="0.35">
      <c r="E7" s="3"/>
    </row>
    <row r="8" spans="1:9" ht="30" x14ac:dyDescent="0.35">
      <c r="A8" s="12" t="s">
        <v>8</v>
      </c>
      <c r="B8" s="14" t="s">
        <v>9</v>
      </c>
      <c r="C8" s="14" t="s">
        <v>10</v>
      </c>
      <c r="E8" s="14" t="s">
        <v>12</v>
      </c>
      <c r="F8" s="14" t="s">
        <v>13</v>
      </c>
      <c r="G8" s="12" t="s">
        <v>11</v>
      </c>
      <c r="H8" s="12" t="s">
        <v>11</v>
      </c>
    </row>
    <row r="9" spans="1:9" x14ac:dyDescent="0.35">
      <c r="A9" s="2">
        <v>2021</v>
      </c>
      <c r="B9" s="6">
        <v>10000</v>
      </c>
      <c r="C9" s="2">
        <v>0</v>
      </c>
      <c r="E9" s="2" t="s">
        <v>14</v>
      </c>
      <c r="F9" s="6">
        <v>3500</v>
      </c>
      <c r="G9" s="7">
        <f>F9/F11</f>
        <v>0.52238805970149249</v>
      </c>
      <c r="H9" s="8">
        <f>F9/$F$11</f>
        <v>0.52238805970149249</v>
      </c>
    </row>
    <row r="10" spans="1:9" x14ac:dyDescent="0.35">
      <c r="A10" s="2">
        <v>2022</v>
      </c>
      <c r="B10" s="6">
        <v>12000</v>
      </c>
      <c r="C10" s="8">
        <f>(B10-B9)/B9</f>
        <v>0.2</v>
      </c>
      <c r="E10" s="2" t="s">
        <v>15</v>
      </c>
      <c r="F10" s="6">
        <v>3200</v>
      </c>
      <c r="G10" s="7">
        <f>F10/F11</f>
        <v>0.47761194029850745</v>
      </c>
      <c r="H10" s="8">
        <f>F10/$F$11</f>
        <v>0.47761194029850745</v>
      </c>
    </row>
    <row r="11" spans="1:9" x14ac:dyDescent="0.35">
      <c r="A11" s="2">
        <v>2023</v>
      </c>
      <c r="B11" s="6">
        <v>15000</v>
      </c>
      <c r="C11" s="8">
        <f t="shared" ref="C11:C13" si="6">(B11-B10)/B10</f>
        <v>0.25</v>
      </c>
      <c r="E11" s="2" t="s">
        <v>16</v>
      </c>
      <c r="F11" s="6">
        <f>SUM(F9:F10)</f>
        <v>6700</v>
      </c>
      <c r="G11" s="2"/>
      <c r="H11" s="2"/>
    </row>
    <row r="12" spans="1:9" x14ac:dyDescent="0.35">
      <c r="A12" s="2">
        <v>2024</v>
      </c>
      <c r="B12" s="3">
        <v>16000</v>
      </c>
      <c r="C12" s="8">
        <f t="shared" si="6"/>
        <v>6.6666666666666666E-2</v>
      </c>
    </row>
    <row r="13" spans="1:9" x14ac:dyDescent="0.35">
      <c r="A13" s="2">
        <v>2025</v>
      </c>
      <c r="B13" s="3">
        <v>22000</v>
      </c>
      <c r="C13" s="8">
        <f t="shared" si="6"/>
        <v>0.375</v>
      </c>
    </row>
    <row r="14" spans="1:9" x14ac:dyDescent="0.35">
      <c r="E14" s="9" t="s">
        <v>17</v>
      </c>
      <c r="F14" s="10">
        <v>18000000</v>
      </c>
    </row>
    <row r="15" spans="1:9" x14ac:dyDescent="0.35">
      <c r="E15" s="9" t="s">
        <v>18</v>
      </c>
      <c r="F15" s="10">
        <v>10000000</v>
      </c>
    </row>
    <row r="16" spans="1:9" x14ac:dyDescent="0.35">
      <c r="E16" s="9" t="s">
        <v>19</v>
      </c>
      <c r="F16" s="10">
        <f>F14-F15</f>
        <v>8000000</v>
      </c>
    </row>
    <row r="17" spans="5:6" x14ac:dyDescent="0.35">
      <c r="E17" s="9" t="s">
        <v>20</v>
      </c>
      <c r="F17" s="11">
        <f>F16/F15</f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2025-08-29T03:12:44Z</dcterms:created>
  <dcterms:modified xsi:type="dcterms:W3CDTF">2026-04-28T11:45:58Z</dcterms:modified>
</cp:coreProperties>
</file>